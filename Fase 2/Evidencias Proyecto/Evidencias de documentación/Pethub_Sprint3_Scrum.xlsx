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Sprint Backlog" sheetId="2" r:id="rId5"/>
    <sheet state="visible" name="Scrumboard" sheetId="3" r:id="rId6"/>
    <sheet state="visible" name="Burndown Chart" sheetId="4" r:id="rId7"/>
    <sheet state="visible" name="Daily Meeting" sheetId="5" r:id="rId8"/>
    <sheet state="visible" name="Impedimentos" sheetId="6" r:id="rId9"/>
    <sheet state="visible" name="Review y Retro" sheetId="7" r:id="rId10"/>
  </sheets>
  <definedNames/>
  <calcPr/>
  <extLst>
    <ext uri="GoogleSheetsCustomDataVersion2">
      <go:sheetsCustomData xmlns:go="http://customooxmlschemas.google.com/" r:id="rId11" roundtripDataChecksum="KeIiC70udiXCdIbNL2vwNm0z2yFd1Gzz516SOmp3Bf0="/>
    </ext>
  </extLst>
</workbook>
</file>

<file path=xl/sharedStrings.xml><?xml version="1.0" encoding="utf-8"?>
<sst xmlns="http://schemas.openxmlformats.org/spreadsheetml/2006/main" count="194" uniqueCount="129">
  <si>
    <t>Plantillas de Sprint — Proyecto Pethub</t>
  </si>
  <si>
    <t>Sprint Backlog</t>
  </si>
  <si>
    <t>Scrumboard</t>
  </si>
  <si>
    <t>Sprint N°:</t>
  </si>
  <si>
    <t>POR HACER</t>
  </si>
  <si>
    <t>Pestaña</t>
  </si>
  <si>
    <t>3</t>
  </si>
  <si>
    <t>EN PROGRESO</t>
  </si>
  <si>
    <t>HECHO</t>
  </si>
  <si>
    <t>Fechas:</t>
  </si>
  <si>
    <t>Semana 9 - 10 (5 al 18-10)</t>
  </si>
  <si>
    <t>Objetivo del Sprint:</t>
  </si>
  <si>
    <t>Tener la red de donantes de sangre funcionando: inscribir mascotas como donantes, publicar y resolver solicitudes de sangre y buscar donantes compatibles.</t>
  </si>
  <si>
    <t>S3-HU08 — Registrar mi mascota como donante voluntario</t>
  </si>
  <si>
    <t>S3-HU09 — Publicar una solicitud de sangre y marcarla como resuelta</t>
  </si>
  <si>
    <t>S3-HU10 — Buscar donantes compatibles por especie, grupo sanguíneo y comuna</t>
  </si>
  <si>
    <t>Tarea técnica adelantada (no planificada): Docker del backend (Dockerfile, docker-compose y .env.example)</t>
  </si>
  <si>
    <t>Tarea técnica no planificada: reunión con la profesora para definir el alcance de la práctica (15-10)</t>
  </si>
  <si>
    <t>ID</t>
  </si>
  <si>
    <t>Tarea técnica: pruebas del sprint (informe de pruebas)</t>
  </si>
  <si>
    <t>Historia / Tarea</t>
  </si>
  <si>
    <t>Tarea técnica: documentación Scrum</t>
  </si>
  <si>
    <t>Estimación (horas)</t>
  </si>
  <si>
    <t>Responsable</t>
  </si>
  <si>
    <t>Estado</t>
  </si>
  <si>
    <t>S3-HU08</t>
  </si>
  <si>
    <t>Cómo se usa</t>
  </si>
  <si>
    <t>Evelyn y Paulina</t>
  </si>
  <si>
    <t>Al iniciar cada sprint, copia las historias/tareas seleccionadas del Product Backlog a la tabla. Define el Objetivo del Sprint (Sprint Goal) antes de empezar.</t>
  </si>
  <si>
    <t>Hecho</t>
  </si>
  <si>
    <t>S3-HU09</t>
  </si>
  <si>
    <t>Tablero visual de las mismas tareas del Sprint Backlog, organizadas en 3 columnas según su estado. Se actualiza a diario, normalmente durante la Daily Meeting.</t>
  </si>
  <si>
    <t>S3-HU10</t>
  </si>
  <si>
    <t>Tarea técnica</t>
  </si>
  <si>
    <t>Burndown Chart</t>
  </si>
  <si>
    <t>Se completa día a día durante el sprint: cada día se registra cuántas horas de trabajo quedan pendientes (columna 'Trabajo real'). El gráfico compara el avance real contra el ideal.</t>
  </si>
  <si>
    <t>Daily Meeting</t>
  </si>
  <si>
    <t>Bitácora breve de la reunión diaria de 15 minutos. Cada integrante anota qué hizo, qué hará y si tiene bloqueos.</t>
  </si>
  <si>
    <t>Impedimentos</t>
  </si>
  <si>
    <t>Lista viva de obstáculos que frenan el avance del equipo. Se agregan apenas aparecen y se cierran cuando se resuelven.</t>
  </si>
  <si>
    <t>Review y Retro</t>
  </si>
  <si>
    <t>Se completa al cierre de cada sprint: la Review resume lo entregado y el feedback; la Retrospectiva resume qué mejorar en el proceso del equipo.</t>
  </si>
  <si>
    <t>Colores:</t>
  </si>
  <si>
    <t xml:space="preserve">  </t>
  </si>
  <si>
    <t>Evelyn</t>
  </si>
  <si>
    <t>Completar una vez por sprint (al iniciarlo)</t>
  </si>
  <si>
    <t>Total de horas del sprint</t>
  </si>
  <si>
    <t>Completar a diario</t>
  </si>
  <si>
    <t>Fila de ejemplo (bórrala o reemplázala con tus datos reales)</t>
  </si>
  <si>
    <t>Fecha</t>
  </si>
  <si>
    <t>Integrante</t>
  </si>
  <si>
    <t>¿Qué hice ayer?</t>
  </si>
  <si>
    <t>¿Qué haré hoy?</t>
  </si>
  <si>
    <t>¿Tengo bloqueos?</t>
  </si>
  <si>
    <t>Inicio del Sprint 3.</t>
  </si>
  <si>
    <t>Docker del backend (Dockerfile, docker-compose y .env.example, Evelyn); diario de reflexión (Paulina).</t>
  </si>
  <si>
    <t>Sin bloqueos.</t>
  </si>
  <si>
    <t>Registro de Impedimentos</t>
  </si>
  <si>
    <t>Se agregó Docker al backend.</t>
  </si>
  <si>
    <t>S3-HU08: modelo Donante, migración y endpoint POST /api/donantes (Evelyn).</t>
  </si>
  <si>
    <t>Fecha detectado</t>
  </si>
  <si>
    <t>Modelo Donante y endpoint de inscripción (S3-HU08), aún sin probar.</t>
  </si>
  <si>
    <t>S3-HU09: modelo SolicitudSangre y migración (Evelyn).</t>
  </si>
  <si>
    <t>Descripción</t>
  </si>
  <si>
    <t>Impacto</t>
  </si>
  <si>
    <t>Modelo SolicitudSangre y su migración (S3-HU09).</t>
  </si>
  <si>
    <t>Pruebas manuales del endpoint de donantes con Thunder Client (S3-HU08, Evelyn).</t>
  </si>
  <si>
    <t>Fecha resuelto</t>
  </si>
  <si>
    <t>Pruebas manuales de S3-HU08, con pantallazos para el informe.</t>
  </si>
  <si>
    <t>Reorganización del repositorio por fases y evidencias (Paulina); demo del frontend de inscripción de donantes (S3-HU08, Paulina).</t>
  </si>
  <si>
    <t>1</t>
  </si>
  <si>
    <t>15-10</t>
  </si>
  <si>
    <t>Conflictos al unir ramas (S3-HU08 y S3-HU09) por la reorganización del repositorio por fases: había archivos en la ruta antigua y en la nueva.</t>
  </si>
  <si>
    <t>Medio</t>
  </si>
  <si>
    <t>Reorganización del repositorio y demo del frontend de S3-HU08.</t>
  </si>
  <si>
    <t>Reunión de cerca de 1 hora con la profesora sobre el alcance de la práctica; unir S3-HU08 con la nueva estructura, S3-HU09 y S3-HU10 con pruebas manuales (Evelyn); conectar donantes y solicitudes de sangre al backend (Paulina).</t>
  </si>
  <si>
    <t>Resuelto</t>
  </si>
  <si>
    <t>Conflictos al unir ramas por la nueva estructura de carpetas y cliente de Prisma desactualizado (ambos resueltos el 15-10).</t>
  </si>
  <si>
    <t>2</t>
  </si>
  <si>
    <t>S3-HU08, S3-HU09 y S3-HU10 unidas a main; frontend de donantes y solicitudes conectado.</t>
  </si>
  <si>
    <t>Pruebas automatizadas de S3-HU08 a S3-HU10 (60 de 60 en el backend, Evelyn); buscador de donantes en el frontend (Paulina).</t>
  </si>
  <si>
    <t>Cliente de Prisma desactualizado después de unir ramas: no reconocía el modelo SolicitudSangre hasta volver a generarlo.</t>
  </si>
  <si>
    <t>Sin bloqueos. Pendientes: encuestas y datos del centro de práctica.</t>
  </si>
  <si>
    <t>Pruebas Jest del backend unidas a main; buscador de donantes y 8 pruebas del frontend de S3-HU08 (suite de 45 de 45).</t>
  </si>
  <si>
    <t>Bajo</t>
  </si>
  <si>
    <t>Documentación Scrum del sprint (Evelyn); pruebas del frontend de solicitudes y buscador (Paulina, previstas para el 18-10).</t>
  </si>
  <si>
    <t>Pendientes: encuestas y datos del centro de práctica.</t>
  </si>
  <si>
    <t>Faltan las encuestas y los datos del centro de práctica para detallar el alcance del proyecto de práctica.</t>
  </si>
  <si>
    <t>Alto</t>
  </si>
  <si>
    <t>Abierto</t>
  </si>
  <si>
    <t>4</t>
  </si>
  <si>
    <t>Cambio de alcance (página web, sin comunidad y con sección educativa): falta definir el detalle y actualizar el Product Backlog.</t>
  </si>
  <si>
    <t>5</t>
  </si>
  <si>
    <t>17-10</t>
  </si>
  <si>
    <t>Aviso de VS Code por demasiados cambios en Git, causado por las carpetas antiguas backend/ y frontend/ sin ignorar.</t>
  </si>
  <si>
    <t>Sprint Review y Retrospectiva</t>
  </si>
  <si>
    <t>SPRINT REVIEW</t>
  </si>
  <si>
    <t>Sprint N° / fechas:</t>
  </si>
  <si>
    <t>3 / Semana 9 - Semana 10 (5 al 18 de octubre)</t>
  </si>
  <si>
    <t>Historias completadas:</t>
  </si>
  <si>
    <t>S3-HU08 — Registrar mi mascota como donante voluntario
S3-HU09 — Publicar una solicitud de sangre y marcarla como resuelta
S3-HU10 — Buscar donantes compatibles por especie, grupo sanguíneo y comuna
Tarea técnica adelantada: Docker del backend (06-10)
Tarea técnica no planificada: reunión con la profesora sobre el alcance de la práctica (15-10)</t>
  </si>
  <si>
    <t>Historias no completadas (y por qué):</t>
  </si>
  <si>
    <t>Ninguna historia quedó sin completar. Al 17-10 continúan en curso las pruebas del frontend de solicitudes de sangre y del buscador (Paulina, previstas para el 18-10) y la documentación Scrum del sprint.</t>
  </si>
  <si>
    <t>Demo realizada / feedback recibido:</t>
  </si>
  <si>
    <t>No hubo demo ni feedback de la profesora sobre el producto: la reunión del 15-10 (cerca de 1 hora) fue para definir el alcance de la práctica. La funcionalidad se validó con pruebas manuales (Thunder Client), 60 de 60 pruebas del backend (26 nuevas del Sprint 3) y 45 de 45 pruebas del frontend (8 nuevas de S3-HU08). Inscripción de donantes, solicitudes de sangre y buscador quedaron conectados al backend.</t>
  </si>
  <si>
    <t>Ajustes al Product Backlog:</t>
  </si>
  <si>
    <t>Alcance de la práctica (reunión del 15-10): el proyecto será una página web, se retira la comunidad (foro) y se deja una sección educativa. Falta una nueva reunión para detallarlo, porque aún no se reciben las encuestas ni los datos del centro de práctica; el Product Backlog se actualizará después. Se agregaron al sprint dos tareas no planificadas: Docker del backend y la reunión de alcance.</t>
  </si>
  <si>
    <t>SPRINT RETROSPECTIVE</t>
  </si>
  <si>
    <t>¿Qué funcionó bien?</t>
  </si>
  <si>
    <t>• Una rama por historia, con migraciones, pruebas manuales documentadas y pruebas automatizadas de cada endpoint.
• Backend y frontend se integraron dentro del mismo sprint (inscripción, solicitudes y buscador conectados).
• El nuevo alcance de la práctica se acordó con la profesora en una reunión.</t>
  </si>
  <si>
    <t>¿Qué no funcionó?</t>
  </si>
  <si>
    <t>• La reorganización del repositorio por fases a mitad del sprint produjo conflictos al unir ramas (15-10).
• La documentación Scrum volvió a quedar para el cierre del sprint.
• Aún faltan las encuestas y los datos del centro de práctica para avanzar con el alcance de la práctica.</t>
  </si>
  <si>
    <t>Acciones de mejora para el próximo sprint:</t>
  </si>
  <si>
    <t>• Registrar la Daily día a día, incluyendo el trabajo fuera del código (reuniones y documentos).
• Avisar al equipo antes de mover o renombrar carpetas del repositorio.
• Escribir las pruebas del frontend junto con cada historia.
• Ajustar las horas de trabajo al acuerdo de 4 h de lunes a viernes con la profesora.</t>
  </si>
  <si>
    <t>Total de horas del sprint:</t>
  </si>
  <si>
    <t>Día</t>
  </si>
  <si>
    <t>Trabajo ideal</t>
  </si>
  <si>
    <t>Trabajo real</t>
  </si>
  <si>
    <t>Registro diario de horas (base del burndown)</t>
  </si>
  <si>
    <t>Horas planificadas</t>
  </si>
  <si>
    <t>Horas trabajadas</t>
  </si>
  <si>
    <t>Total</t>
  </si>
  <si>
    <t>Trabajo no planificado (no forma parte de las 26 horas del sprint)</t>
  </si>
  <si>
    <t>Horas planificadas y trabajadas informadas por el equipo (Evelyn y Paulina); los días de trabajo se contrastaron con el historial de commits del repositorio.</t>
  </si>
  <si>
    <t>Horas planificadas: 4 h por día de trabajo, según el acuerdo con la profesora (4 h de lunes a viernes desde el 18-08); el último día tiene 2 h para cerrar las 26 h del sprint.</t>
  </si>
  <si>
    <t>06-10: 2 h de trabajo no planificado (Docker del backend y diario de reflexión); no reducen el trabajo restante.</t>
  </si>
  <si>
    <t>15-10: 1 h de reunión con la profesora para definir el alcance de la práctica (trabajo no planificado), además de 8 h de trabajo del sprint.</t>
  </si>
  <si>
    <t>Las historias S3-HU08 a S3-HU10 se completaron dentro de las 26 h planificadas.</t>
  </si>
  <si>
    <t>Quedan fuera de este burndown la documentación Scrum (17 y 18-10) y las pruebas del frontend de solicitudes y buscador (Paulina, 18-10).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</si>
</sst>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"/>
  </numFmts>
  <fonts count="9">
    <font>
      <sz val="11.0"/>
      <color theme="1"/>
      <name val="Calibri"/>
      <scheme val="minor"/>
    </font>
    <font>
      <b/>
      <sz val="16.0"/>
      <color rgb="FF1F3B57"/>
      <name val="Calibri"/>
    </font>
    <font>
      <i/>
      <sz val="11.0"/>
      <color rgb="FF666666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/>
    <font>
      <i/>
      <sz val="11.0"/>
      <color rgb="FF808080"/>
      <name val="Calibri"/>
    </font>
    <font>
      <i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3B57"/>
        <bgColor rgb="FF1F3B5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7F5"/>
        <bgColor rgb="FFD9E7F5"/>
      </patternFill>
    </fill>
    <fill>
      <patternFill patternType="solid">
        <fgColor rgb="FFF2F2F2"/>
        <bgColor rgb="FFF2F2F2"/>
      </patternFill>
    </fill>
  </fills>
  <borders count="6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left/>
      <right/>
      <top/>
      <bottom/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1" fillId="3" fontId="5" numFmtId="0" xfId="0" applyAlignment="1" applyBorder="1" applyFill="1" applyFont="1">
      <alignment horizontal="left" shrinkToFit="0" vertical="top" wrapText="1"/>
    </xf>
    <xf borderId="1" fillId="4" fontId="5" numFmtId="0" xfId="0" applyAlignment="1" applyBorder="1" applyFill="1" applyFont="1">
      <alignment horizontal="left" shrinkToFit="0" vertical="top" wrapText="1"/>
    </xf>
    <xf borderId="2" fillId="3" fontId="5" numFmtId="0" xfId="0" applyAlignment="1" applyBorder="1" applyFill="1" applyFont="1">
      <alignment horizontal="left" shrinkToFit="0" vertical="top" wrapText="1"/>
    </xf>
    <xf borderId="3" fillId="0" fontId="6" numFmtId="0" xfId="0" applyBorder="1" applyFont="1"/>
    <xf borderId="4" fillId="4" fontId="5" numFmtId="0" xfId="0" applyAlignment="1" applyBorder="1" applyFill="1" applyFont="1">
      <alignment horizontal="left" shrinkToFit="0" vertical="top" wrapText="1"/>
    </xf>
    <xf borderId="5" fillId="0" fontId="6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6" fontId="7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5" fontId="5" numFmtId="164" xfId="0" applyAlignment="1" applyBorder="1" applyFill="1" applyFont="1" applyNumberForma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left" shrinkToFit="0" vertical="center" wrapText="1"/>
    </xf>
    <xf borderId="1" fillId="3" fontId="5" numFmtId="164" xfId="0" applyAlignment="1" applyBorder="1" applyFill="1" applyFont="1" applyNumberForma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0" fillId="0" fontId="3" numFmtId="0" xfId="0" applyFont="1"/>
    <xf borderId="1" fillId="0" fontId="3" numFmtId="0" xfId="0" applyAlignment="1" applyBorder="1" applyFont="1">
      <alignment horizontal="center" shrinkToFit="0" vertical="center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— Sprint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Trabajo ideal</c:v>
          </c:tx>
          <c:spPr>
            <a:ln cmpd="sng" w="19050">
              <a:solidFill>
                <a:srgbClr val="898781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'Burndown Chart'!$A$7:$A$14</c:f>
            </c:strRef>
          </c:cat>
          <c:val>
            <c:numRef>
              <c:f>'Burndown Chart'!$C$7:$C$14</c:f>
              <c:numCache/>
            </c:numRef>
          </c:val>
          <c:smooth val="0"/>
        </c:ser>
        <c:ser>
          <c:idx val="1"/>
          <c:order val="1"/>
          <c:tx>
            <c:v>Trabajo real</c:v>
          </c:tx>
          <c:spPr>
            <a:ln cmpd="sng" w="19050">
              <a:solidFill>
                <a:srgbClr val="2A78D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'Burndown Chart'!$A$7:$A$14</c:f>
            </c:strRef>
          </c:cat>
          <c:val>
            <c:numRef>
              <c:f>'Burndown Chart'!$D$7:$D$14</c:f>
              <c:numCache/>
            </c:numRef>
          </c:val>
          <c:smooth val="0"/>
        </c:ser>
        <c:axId val="1130691608"/>
        <c:axId val="707394094"/>
      </c:lineChart>
      <c:catAx>
        <c:axId val="1130691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07394094"/>
      </c:catAx>
      <c:valAx>
        <c:axId val="707394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3069160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371475</xdr:rowOff>
    </xdr:from>
    <xdr:ext cx="6172200" cy="2886075"/>
    <xdr:graphicFrame>
      <xdr:nvGraphicFramePr>
        <xdr:cNvPr id="7163410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90.0"/>
    <col customWidth="1" min="3" max="6" width="8.71"/>
  </cols>
  <sheetData>
    <row r="1" ht="24.0" customHeight="1">
      <c r="A1" s="1" t="s">
        <v>0</v>
      </c>
    </row>
    <row r="2" ht="18.0" customHeight="1">
      <c r="A2" s="2"/>
    </row>
    <row r="4">
      <c r="A4" s="4" t="s">
        <v>5</v>
      </c>
      <c r="B4" s="4" t="s">
        <v>26</v>
      </c>
    </row>
    <row r="5" ht="39.75" customHeight="1">
      <c r="A5" s="15" t="s">
        <v>1</v>
      </c>
      <c r="B5" s="6" t="s">
        <v>28</v>
      </c>
    </row>
    <row r="6" ht="39.75" customHeight="1">
      <c r="A6" s="15" t="s">
        <v>2</v>
      </c>
      <c r="B6" s="6" t="s">
        <v>31</v>
      </c>
    </row>
    <row r="7" ht="39.75" customHeight="1">
      <c r="A7" s="15" t="s">
        <v>34</v>
      </c>
      <c r="B7" s="6" t="s">
        <v>35</v>
      </c>
    </row>
    <row r="8" ht="39.75" customHeight="1">
      <c r="A8" s="15" t="s">
        <v>36</v>
      </c>
      <c r="B8" s="6" t="s">
        <v>37</v>
      </c>
    </row>
    <row r="9" ht="39.75" customHeight="1">
      <c r="A9" s="15" t="s">
        <v>38</v>
      </c>
      <c r="B9" s="6" t="s">
        <v>39</v>
      </c>
    </row>
    <row r="10" ht="39.75" customHeight="1">
      <c r="A10" s="15" t="s">
        <v>40</v>
      </c>
      <c r="B10" s="6" t="s">
        <v>41</v>
      </c>
    </row>
    <row r="12">
      <c r="A12" s="3" t="s">
        <v>42</v>
      </c>
    </row>
    <row r="13">
      <c r="A13" s="17" t="s">
        <v>43</v>
      </c>
      <c r="B13" s="18" t="s">
        <v>45</v>
      </c>
    </row>
    <row r="14">
      <c r="A14" s="19" t="s">
        <v>43</v>
      </c>
      <c r="B14" s="18" t="s">
        <v>47</v>
      </c>
    </row>
    <row r="15">
      <c r="A15" s="21" t="s">
        <v>43</v>
      </c>
      <c r="B15" s="18" t="s">
        <v>48</v>
      </c>
    </row>
    <row r="17" ht="30.0" customHeight="1">
      <c r="A17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4" footer="0.0" header="0.0" left="0.3" right="0.3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46.0"/>
    <col customWidth="1" min="3" max="5" width="16.0"/>
    <col customWidth="1" min="6" max="6" width="8.71"/>
  </cols>
  <sheetData>
    <row r="1" ht="24.0" customHeight="1">
      <c r="A1" s="1" t="s">
        <v>1</v>
      </c>
    </row>
    <row r="2" ht="18.0" customHeight="1">
      <c r="A2" s="2"/>
    </row>
    <row r="4" ht="33.75" customHeight="1">
      <c r="A4" s="3" t="s">
        <v>3</v>
      </c>
      <c r="B4" s="5" t="s">
        <v>6</v>
      </c>
      <c r="C4" s="3" t="s">
        <v>9</v>
      </c>
      <c r="D4" s="5" t="s">
        <v>10</v>
      </c>
    </row>
    <row r="5" ht="31.5" customHeight="1">
      <c r="A5" s="3" t="s">
        <v>11</v>
      </c>
      <c r="B5" s="9" t="s">
        <v>12</v>
      </c>
      <c r="C5" s="10"/>
      <c r="D5" s="10"/>
      <c r="E5" s="10"/>
      <c r="F5" s="12"/>
    </row>
    <row r="7">
      <c r="A7" s="4" t="s">
        <v>18</v>
      </c>
      <c r="B7" s="4" t="s">
        <v>20</v>
      </c>
      <c r="C7" s="4" t="s">
        <v>22</v>
      </c>
      <c r="D7" s="4" t="s">
        <v>23</v>
      </c>
      <c r="E7" s="4" t="s">
        <v>24</v>
      </c>
    </row>
    <row r="8" ht="30.0" customHeight="1">
      <c r="A8" s="13" t="s">
        <v>25</v>
      </c>
      <c r="B8" s="14" t="s">
        <v>13</v>
      </c>
      <c r="C8" s="14">
        <v>6.0</v>
      </c>
      <c r="D8" s="14" t="s">
        <v>27</v>
      </c>
      <c r="E8" s="13" t="s">
        <v>29</v>
      </c>
    </row>
    <row r="9" ht="30.0" customHeight="1">
      <c r="A9" s="13" t="s">
        <v>30</v>
      </c>
      <c r="B9" s="14" t="s">
        <v>14</v>
      </c>
      <c r="C9" s="14">
        <v>6.0</v>
      </c>
      <c r="D9" s="14" t="s">
        <v>27</v>
      </c>
      <c r="E9" s="13" t="s">
        <v>29</v>
      </c>
    </row>
    <row r="10" ht="30.0" customHeight="1">
      <c r="A10" s="13" t="s">
        <v>32</v>
      </c>
      <c r="B10" s="14" t="s">
        <v>15</v>
      </c>
      <c r="C10" s="14">
        <v>6.0</v>
      </c>
      <c r="D10" s="14" t="s">
        <v>27</v>
      </c>
      <c r="E10" s="13" t="s">
        <v>29</v>
      </c>
    </row>
    <row r="11" ht="30.0" customHeight="1">
      <c r="A11" s="13" t="s">
        <v>33</v>
      </c>
      <c r="B11" s="14" t="s">
        <v>19</v>
      </c>
      <c r="C11" s="14">
        <v>4.0</v>
      </c>
      <c r="D11" s="14" t="s">
        <v>27</v>
      </c>
      <c r="E11" s="16" t="s">
        <v>29</v>
      </c>
    </row>
    <row r="12" ht="30.0" customHeight="1">
      <c r="A12" s="13" t="s">
        <v>33</v>
      </c>
      <c r="B12" s="14" t="s">
        <v>21</v>
      </c>
      <c r="C12" s="14">
        <v>4.0</v>
      </c>
      <c r="D12" s="14" t="s">
        <v>27</v>
      </c>
      <c r="E12" s="16" t="s">
        <v>29</v>
      </c>
    </row>
    <row r="13" ht="45.0" customHeight="1">
      <c r="A13" s="13" t="s">
        <v>33</v>
      </c>
      <c r="B13" s="14" t="s">
        <v>16</v>
      </c>
      <c r="C13" s="14">
        <v>0.0</v>
      </c>
      <c r="D13" s="14" t="s">
        <v>44</v>
      </c>
      <c r="E13" s="13" t="s">
        <v>29</v>
      </c>
    </row>
    <row r="14" ht="45.0" customHeight="1">
      <c r="A14" s="13" t="s">
        <v>33</v>
      </c>
      <c r="B14" s="14" t="s">
        <v>17</v>
      </c>
      <c r="C14" s="14">
        <v>0.0</v>
      </c>
      <c r="D14" s="14" t="s">
        <v>27</v>
      </c>
      <c r="E14" s="13" t="s">
        <v>29</v>
      </c>
    </row>
    <row r="15">
      <c r="A15" s="13"/>
      <c r="B15" s="20" t="s">
        <v>46</v>
      </c>
      <c r="C15" s="20">
        <f>SUM(C8:C14)</f>
        <v>26</v>
      </c>
      <c r="D15" s="14"/>
      <c r="E15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5:F5"/>
  </mergeCells>
  <dataValidations>
    <dataValidation type="list" allowBlank="1" sqref="E8:E14">
      <formula1>"Por hacer,En progreso,Hecho,Bloqueado"</formula1>
    </dataValidation>
  </dataValidations>
  <printOptions/>
  <pageMargins bottom="0.4" footer="0.0" header="0.0" left="0.3" right="0.3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3" width="2.0"/>
    <col customWidth="1" min="4" max="4" width="30.0"/>
    <col customWidth="1" min="5" max="5" width="2.0"/>
    <col customWidth="1" min="6" max="6" width="30.0"/>
  </cols>
  <sheetData>
    <row r="1" ht="24.0" customHeight="1">
      <c r="A1" s="1" t="s">
        <v>2</v>
      </c>
    </row>
    <row r="2" ht="18.0" customHeight="1">
      <c r="A2" s="2"/>
    </row>
    <row r="4">
      <c r="B4" s="4" t="s">
        <v>4</v>
      </c>
      <c r="D4" s="4" t="s">
        <v>7</v>
      </c>
      <c r="F4" s="4" t="s">
        <v>8</v>
      </c>
    </row>
    <row r="5" ht="45.0" customHeight="1">
      <c r="B5" s="6"/>
      <c r="D5" s="7"/>
      <c r="F5" s="8" t="s">
        <v>13</v>
      </c>
    </row>
    <row r="6" ht="45.0" customHeight="1">
      <c r="B6" s="6"/>
      <c r="D6" s="7"/>
      <c r="F6" s="8" t="s">
        <v>14</v>
      </c>
    </row>
    <row r="7" ht="45.0" customHeight="1">
      <c r="B7" s="6"/>
      <c r="F7" s="11" t="s">
        <v>15</v>
      </c>
    </row>
    <row r="8" ht="45.0" customHeight="1">
      <c r="F8" s="11" t="s">
        <v>16</v>
      </c>
    </row>
    <row r="9" ht="60.75" customHeight="1">
      <c r="F9" s="8" t="s">
        <v>17</v>
      </c>
    </row>
    <row r="10">
      <c r="F10" s="8" t="s">
        <v>19</v>
      </c>
    </row>
    <row r="11">
      <c r="F11" s="8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4" footer="0.0" header="0.0" left="0.3" right="0.3" top="0.4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4" width="18.0"/>
    <col customWidth="1" min="5" max="6" width="8.71"/>
  </cols>
  <sheetData>
    <row r="1" ht="24.0" customHeight="1">
      <c r="A1" s="1" t="s">
        <v>34</v>
      </c>
    </row>
    <row r="2" ht="18.0" customHeight="1">
      <c r="A2" s="2"/>
    </row>
    <row r="4" ht="75.0" customHeight="1">
      <c r="A4" s="3" t="s">
        <v>114</v>
      </c>
      <c r="B4" s="5">
        <v>26.0</v>
      </c>
    </row>
    <row r="6">
      <c r="A6" s="4" t="s">
        <v>115</v>
      </c>
      <c r="B6" s="4" t="s">
        <v>49</v>
      </c>
      <c r="C6" s="4" t="s">
        <v>116</v>
      </c>
      <c r="D6" s="4" t="s">
        <v>117</v>
      </c>
    </row>
    <row r="7">
      <c r="A7" s="13">
        <v>0.0</v>
      </c>
      <c r="B7" s="26">
        <v>46300.0</v>
      </c>
      <c r="C7" s="13">
        <v>26.0</v>
      </c>
      <c r="D7" s="24">
        <v>26.0</v>
      </c>
    </row>
    <row r="8">
      <c r="A8" s="13">
        <v>1.0</v>
      </c>
      <c r="B8" s="26">
        <v>46301.0</v>
      </c>
      <c r="C8" s="13">
        <v>22.0</v>
      </c>
      <c r="D8" s="24">
        <v>26.0</v>
      </c>
    </row>
    <row r="9">
      <c r="A9" s="13">
        <v>2.0</v>
      </c>
      <c r="B9" s="27">
        <v>46303.0</v>
      </c>
      <c r="C9" s="13">
        <v>18.0</v>
      </c>
      <c r="D9" s="24">
        <v>22.0</v>
      </c>
    </row>
    <row r="10">
      <c r="A10" s="13">
        <v>3.0</v>
      </c>
      <c r="B10" s="27">
        <v>46304.0</v>
      </c>
      <c r="C10" s="13">
        <v>14.0</v>
      </c>
      <c r="D10" s="24">
        <v>20.0</v>
      </c>
    </row>
    <row r="11">
      <c r="A11" s="13">
        <v>4.0</v>
      </c>
      <c r="B11" s="27">
        <v>46307.0</v>
      </c>
      <c r="C11" s="13">
        <v>10.0</v>
      </c>
      <c r="D11" s="24">
        <v>17.0</v>
      </c>
    </row>
    <row r="12">
      <c r="A12" s="13">
        <v>5.0</v>
      </c>
      <c r="B12" s="27">
        <v>46309.0</v>
      </c>
      <c r="C12" s="13">
        <v>6.0</v>
      </c>
      <c r="D12" s="24">
        <v>13.0</v>
      </c>
    </row>
    <row r="13">
      <c r="A13" s="13">
        <v>6.0</v>
      </c>
      <c r="B13" s="27">
        <v>46310.0</v>
      </c>
      <c r="C13" s="13">
        <v>2.0</v>
      </c>
      <c r="D13" s="24">
        <v>5.0</v>
      </c>
    </row>
    <row r="14">
      <c r="A14" s="13">
        <v>7.0</v>
      </c>
      <c r="B14" s="27">
        <v>46311.0</v>
      </c>
      <c r="C14" s="13">
        <v>0.0</v>
      </c>
      <c r="D14" s="24">
        <v>0.0</v>
      </c>
    </row>
    <row r="15">
      <c r="A15" s="13"/>
      <c r="B15" s="13"/>
      <c r="C15" s="13"/>
      <c r="D15" s="24"/>
    </row>
    <row r="16">
      <c r="A16" s="13"/>
      <c r="B16" s="13"/>
      <c r="C16" s="13"/>
      <c r="D16" s="24"/>
    </row>
    <row r="17">
      <c r="A17" s="13"/>
      <c r="B17" s="13"/>
      <c r="C17" s="13"/>
      <c r="D17" s="24"/>
    </row>
    <row r="19">
      <c r="A19" s="28" t="s">
        <v>118</v>
      </c>
    </row>
    <row r="20" ht="30.0" customHeight="1">
      <c r="B20" s="4" t="s">
        <v>49</v>
      </c>
      <c r="C20" s="4" t="s">
        <v>119</v>
      </c>
      <c r="D20" s="4" t="s">
        <v>120</v>
      </c>
    </row>
    <row r="21" ht="15.75" customHeight="1">
      <c r="B21" s="27">
        <v>46301.0</v>
      </c>
      <c r="C21" s="13">
        <v>4.0</v>
      </c>
      <c r="D21" s="13">
        <v>0.0</v>
      </c>
    </row>
    <row r="22" ht="15.75" customHeight="1">
      <c r="B22" s="27">
        <v>46303.0</v>
      </c>
      <c r="C22" s="13">
        <v>4.0</v>
      </c>
      <c r="D22" s="13">
        <v>4.0</v>
      </c>
    </row>
    <row r="23" ht="15.75" customHeight="1">
      <c r="B23" s="27">
        <v>46304.0</v>
      </c>
      <c r="C23" s="13">
        <v>4.0</v>
      </c>
      <c r="D23" s="13">
        <v>2.0</v>
      </c>
    </row>
    <row r="24" ht="15.75" customHeight="1">
      <c r="B24" s="27">
        <v>46307.0</v>
      </c>
      <c r="C24" s="13">
        <v>4.0</v>
      </c>
      <c r="D24" s="13">
        <v>3.0</v>
      </c>
    </row>
    <row r="25" ht="15.75" customHeight="1">
      <c r="B25" s="27">
        <v>46309.0</v>
      </c>
      <c r="C25" s="13">
        <v>4.0</v>
      </c>
      <c r="D25" s="13">
        <v>4.0</v>
      </c>
    </row>
    <row r="26" ht="15.75" customHeight="1">
      <c r="B26" s="27">
        <v>46310.0</v>
      </c>
      <c r="C26" s="13">
        <v>4.0</v>
      </c>
      <c r="D26" s="13">
        <v>8.0</v>
      </c>
    </row>
    <row r="27" ht="15.75" customHeight="1">
      <c r="B27" s="27">
        <v>46311.0</v>
      </c>
      <c r="C27" s="13">
        <v>2.0</v>
      </c>
      <c r="D27" s="13">
        <v>5.0</v>
      </c>
    </row>
    <row r="28" ht="15.75" customHeight="1">
      <c r="B28" s="13"/>
      <c r="C28" s="13"/>
      <c r="D28" s="13"/>
    </row>
    <row r="29" ht="15.75" customHeight="1">
      <c r="B29" s="29" t="s">
        <v>121</v>
      </c>
      <c r="C29" s="29">
        <f t="shared" ref="C29:D29" si="1">SUM(C21:C28)</f>
        <v>26</v>
      </c>
      <c r="D29" s="29">
        <f t="shared" si="1"/>
        <v>26</v>
      </c>
    </row>
    <row r="30" ht="15.75" customHeight="1"/>
    <row r="31" ht="15.75" customHeight="1">
      <c r="A31" s="28" t="s">
        <v>122</v>
      </c>
    </row>
    <row r="32" ht="30.0" customHeight="1">
      <c r="B32" s="4" t="s">
        <v>49</v>
      </c>
      <c r="C32" s="4" t="s">
        <v>119</v>
      </c>
      <c r="D32" s="4" t="s">
        <v>120</v>
      </c>
    </row>
    <row r="33" ht="15.75" customHeight="1">
      <c r="B33" s="27">
        <v>46301.0</v>
      </c>
      <c r="C33" s="13">
        <v>0.0</v>
      </c>
      <c r="D33" s="13">
        <v>2.0</v>
      </c>
    </row>
    <row r="34" ht="15.75" customHeight="1">
      <c r="B34" s="27">
        <v>46310.0</v>
      </c>
      <c r="C34" s="13">
        <v>0.0</v>
      </c>
      <c r="D34" s="13">
        <v>1.0</v>
      </c>
    </row>
    <row r="35" ht="15.75" customHeight="1">
      <c r="B35" s="13"/>
      <c r="C35" s="13"/>
      <c r="D35" s="13"/>
    </row>
    <row r="36" ht="15.75" customHeight="1">
      <c r="B36" s="13"/>
      <c r="C36" s="13"/>
      <c r="D36" s="13"/>
    </row>
    <row r="37" ht="15.75" customHeight="1">
      <c r="B37" s="13"/>
      <c r="C37" s="13"/>
      <c r="D37" s="13"/>
    </row>
    <row r="38" ht="15.75" customHeight="1">
      <c r="B38" s="29" t="s">
        <v>121</v>
      </c>
      <c r="C38" s="29">
        <f t="shared" ref="C38:D38" si="2">SUM(C33:C37)</f>
        <v>0</v>
      </c>
      <c r="D38" s="29">
        <f t="shared" si="2"/>
        <v>3</v>
      </c>
    </row>
    <row r="39" ht="15.75" customHeight="1"/>
    <row r="40" ht="15.75" customHeight="1">
      <c r="A40" s="30" t="s">
        <v>123</v>
      </c>
    </row>
    <row r="41" ht="15.75" customHeight="1">
      <c r="A41" s="30" t="s">
        <v>124</v>
      </c>
    </row>
    <row r="42" ht="15.75" customHeight="1">
      <c r="A42" s="30" t="s">
        <v>125</v>
      </c>
    </row>
    <row r="43" ht="15.75" customHeight="1">
      <c r="A43" s="30" t="s">
        <v>126</v>
      </c>
    </row>
    <row r="44" ht="15.75" customHeight="1">
      <c r="A44" s="30" t="s">
        <v>127</v>
      </c>
    </row>
    <row r="45" ht="15.75" customHeight="1">
      <c r="A45" s="30" t="s">
        <v>128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4" footer="0.0" header="0.0" left="0.3" right="0.3" top="0.4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14.0"/>
    <col customWidth="1" min="3" max="4" width="34.0"/>
    <col customWidth="1" min="5" max="5" width="26.0"/>
    <col customWidth="1" min="6" max="6" width="8.71"/>
  </cols>
  <sheetData>
    <row r="1" ht="24.0" customHeight="1">
      <c r="A1" s="1" t="s">
        <v>36</v>
      </c>
    </row>
    <row r="2" ht="18.0" customHeight="1">
      <c r="A2" s="2"/>
    </row>
    <row r="4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</row>
    <row r="5" ht="75.0" customHeight="1">
      <c r="A5" s="23">
        <v>46301.0</v>
      </c>
      <c r="B5" s="13" t="s">
        <v>27</v>
      </c>
      <c r="C5" s="6" t="s">
        <v>54</v>
      </c>
      <c r="D5" s="6" t="s">
        <v>55</v>
      </c>
      <c r="E5" s="6" t="s">
        <v>56</v>
      </c>
    </row>
    <row r="6" ht="75.0" customHeight="1">
      <c r="A6" s="23">
        <v>46303.0</v>
      </c>
      <c r="B6" s="13" t="s">
        <v>27</v>
      </c>
      <c r="C6" s="6" t="s">
        <v>58</v>
      </c>
      <c r="D6" s="6" t="s">
        <v>59</v>
      </c>
      <c r="E6" s="6" t="s">
        <v>56</v>
      </c>
    </row>
    <row r="7" ht="75.0" customHeight="1">
      <c r="A7" s="23">
        <v>46304.0</v>
      </c>
      <c r="B7" s="13" t="s">
        <v>27</v>
      </c>
      <c r="C7" s="6" t="s">
        <v>61</v>
      </c>
      <c r="D7" s="6" t="s">
        <v>62</v>
      </c>
      <c r="E7" s="6" t="s">
        <v>56</v>
      </c>
    </row>
    <row r="8" ht="75.0" customHeight="1">
      <c r="A8" s="23">
        <v>46307.0</v>
      </c>
      <c r="B8" s="13" t="s">
        <v>27</v>
      </c>
      <c r="C8" s="6" t="s">
        <v>65</v>
      </c>
      <c r="D8" s="6" t="s">
        <v>66</v>
      </c>
      <c r="E8" s="6" t="s">
        <v>56</v>
      </c>
    </row>
    <row r="9" ht="75.0" customHeight="1">
      <c r="A9" s="23">
        <v>46309.0</v>
      </c>
      <c r="B9" s="13" t="s">
        <v>27</v>
      </c>
      <c r="C9" s="6" t="s">
        <v>68</v>
      </c>
      <c r="D9" s="6" t="s">
        <v>69</v>
      </c>
      <c r="E9" s="6" t="s">
        <v>56</v>
      </c>
    </row>
    <row r="10" ht="105.0" customHeight="1">
      <c r="A10" s="23">
        <v>46310.0</v>
      </c>
      <c r="B10" s="13" t="s">
        <v>27</v>
      </c>
      <c r="C10" s="6" t="s">
        <v>74</v>
      </c>
      <c r="D10" s="6" t="s">
        <v>75</v>
      </c>
      <c r="E10" s="6" t="s">
        <v>77</v>
      </c>
    </row>
    <row r="11" ht="75.0" customHeight="1">
      <c r="A11" s="23">
        <v>46311.0</v>
      </c>
      <c r="B11" s="13" t="s">
        <v>27</v>
      </c>
      <c r="C11" s="6" t="s">
        <v>79</v>
      </c>
      <c r="D11" s="6" t="s">
        <v>80</v>
      </c>
      <c r="E11" s="6" t="s">
        <v>82</v>
      </c>
    </row>
    <row r="12" ht="75.0" customHeight="1">
      <c r="A12" s="23">
        <v>46312.0</v>
      </c>
      <c r="B12" s="13" t="s">
        <v>27</v>
      </c>
      <c r="C12" s="6" t="s">
        <v>83</v>
      </c>
      <c r="D12" s="6" t="s">
        <v>85</v>
      </c>
      <c r="E12" s="6" t="s">
        <v>86</v>
      </c>
    </row>
    <row r="13" ht="30.0" customHeight="1">
      <c r="A13" s="24"/>
      <c r="B13" s="13"/>
      <c r="C13" s="6"/>
      <c r="D13" s="6"/>
      <c r="E13" s="6"/>
    </row>
    <row r="14" ht="30.0" customHeight="1">
      <c r="A14" s="24"/>
      <c r="B14" s="13"/>
      <c r="C14" s="6"/>
      <c r="D14" s="6"/>
      <c r="E14" s="6"/>
    </row>
    <row r="15" ht="30.0" customHeight="1">
      <c r="A15" s="24"/>
      <c r="B15" s="13"/>
      <c r="C15" s="6"/>
      <c r="D15" s="6"/>
      <c r="E15" s="6"/>
    </row>
    <row r="16" ht="30.0" customHeight="1">
      <c r="A16" s="24"/>
      <c r="B16" s="13"/>
      <c r="C16" s="6"/>
      <c r="D16" s="6"/>
      <c r="E1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4" footer="0.0" header="0.0" left="0.3" right="0.3" top="0.4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3" width="40.0"/>
    <col customWidth="1" min="4" max="4" width="12.0"/>
    <col customWidth="1" min="5" max="5" width="16.0"/>
    <col customWidth="1" min="6" max="7" width="14.0"/>
  </cols>
  <sheetData>
    <row r="1" ht="24.0" customHeight="1">
      <c r="A1" s="1" t="s">
        <v>57</v>
      </c>
    </row>
    <row r="2" ht="18.0" customHeight="1">
      <c r="A2" s="2"/>
    </row>
    <row r="4" ht="30.0" customHeight="1">
      <c r="A4" s="4" t="s">
        <v>18</v>
      </c>
      <c r="B4" s="4" t="s">
        <v>60</v>
      </c>
      <c r="C4" s="4" t="s">
        <v>63</v>
      </c>
      <c r="D4" s="4" t="s">
        <v>64</v>
      </c>
      <c r="E4" s="4" t="s">
        <v>23</v>
      </c>
      <c r="F4" s="4" t="s">
        <v>24</v>
      </c>
      <c r="G4" s="4" t="s">
        <v>67</v>
      </c>
    </row>
    <row r="5" ht="61.5" customHeight="1">
      <c r="A5" s="13" t="s">
        <v>70</v>
      </c>
      <c r="B5" s="13" t="s">
        <v>71</v>
      </c>
      <c r="C5" s="13" t="s">
        <v>72</v>
      </c>
      <c r="D5" s="13" t="s">
        <v>73</v>
      </c>
      <c r="E5" s="13" t="s">
        <v>44</v>
      </c>
      <c r="F5" s="13" t="s">
        <v>76</v>
      </c>
      <c r="G5" s="13" t="s">
        <v>71</v>
      </c>
    </row>
    <row r="6" ht="61.5" customHeight="1">
      <c r="A6" s="13" t="s">
        <v>78</v>
      </c>
      <c r="B6" s="13" t="s">
        <v>71</v>
      </c>
      <c r="C6" s="6" t="s">
        <v>81</v>
      </c>
      <c r="D6" s="13" t="s">
        <v>84</v>
      </c>
      <c r="E6" s="13" t="s">
        <v>44</v>
      </c>
      <c r="F6" s="13" t="s">
        <v>76</v>
      </c>
      <c r="G6" s="13" t="s">
        <v>71</v>
      </c>
    </row>
    <row r="7" ht="61.5" customHeight="1">
      <c r="A7" s="13" t="s">
        <v>6</v>
      </c>
      <c r="B7" s="13" t="s">
        <v>71</v>
      </c>
      <c r="C7" s="13" t="s">
        <v>87</v>
      </c>
      <c r="D7" s="13" t="s">
        <v>88</v>
      </c>
      <c r="E7" s="13" t="s">
        <v>27</v>
      </c>
      <c r="F7" s="13" t="s">
        <v>89</v>
      </c>
      <c r="G7" s="13"/>
    </row>
    <row r="8" ht="61.5" customHeight="1">
      <c r="A8" s="13" t="s">
        <v>90</v>
      </c>
      <c r="B8" s="13" t="s">
        <v>71</v>
      </c>
      <c r="C8" s="13" t="s">
        <v>91</v>
      </c>
      <c r="D8" s="13" t="s">
        <v>73</v>
      </c>
      <c r="E8" s="13" t="s">
        <v>27</v>
      </c>
      <c r="F8" s="13" t="s">
        <v>89</v>
      </c>
      <c r="G8" s="13"/>
    </row>
    <row r="9" ht="61.5" customHeight="1">
      <c r="A9" s="13" t="s">
        <v>92</v>
      </c>
      <c r="B9" s="13" t="s">
        <v>93</v>
      </c>
      <c r="C9" s="13" t="s">
        <v>94</v>
      </c>
      <c r="D9" s="13" t="s">
        <v>84</v>
      </c>
      <c r="E9" s="13" t="s">
        <v>44</v>
      </c>
      <c r="F9" s="13" t="s">
        <v>76</v>
      </c>
      <c r="G9" s="13" t="s">
        <v>93</v>
      </c>
    </row>
    <row r="10">
      <c r="A10" s="13"/>
      <c r="B10" s="13"/>
      <c r="C10" s="6"/>
      <c r="D10" s="13"/>
      <c r="E10" s="13"/>
      <c r="F10" s="13"/>
      <c r="G10" s="13"/>
    </row>
    <row r="11">
      <c r="A11" s="13"/>
      <c r="B11" s="13"/>
      <c r="C11" s="6"/>
      <c r="D11" s="13"/>
      <c r="E11" s="13"/>
      <c r="F11" s="13"/>
      <c r="G11" s="13"/>
    </row>
    <row r="12">
      <c r="A12" s="13"/>
      <c r="B12" s="13"/>
      <c r="C12" s="6"/>
      <c r="D12" s="13"/>
      <c r="E12" s="13"/>
      <c r="F12" s="13"/>
      <c r="G12" s="13"/>
    </row>
    <row r="13">
      <c r="A13" s="13"/>
      <c r="B13" s="13"/>
      <c r="C13" s="6"/>
      <c r="D13" s="13"/>
      <c r="E13" s="13"/>
      <c r="F13" s="13"/>
      <c r="G13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6:F13">
      <formula1>"Abierto,Resuelto"</formula1>
    </dataValidation>
    <dataValidation type="list" allowBlank="1" sqref="D6:D13">
      <formula1>"Alto,Medio,Bajo"</formula1>
    </dataValidation>
  </dataValidations>
  <printOptions/>
  <pageMargins bottom="0.4" footer="0.0" header="0.0" left="0.3" right="0.3" top="0.4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70.0"/>
    <col customWidth="1" min="3" max="6" width="8.71"/>
  </cols>
  <sheetData>
    <row r="1" ht="24.0" customHeight="1">
      <c r="A1" s="1" t="s">
        <v>95</v>
      </c>
    </row>
    <row r="2" ht="18.0" customHeight="1">
      <c r="A2" s="2"/>
    </row>
    <row r="4">
      <c r="A4" s="4" t="s">
        <v>96</v>
      </c>
      <c r="B4" s="25"/>
    </row>
    <row r="5" ht="31.5" customHeight="1">
      <c r="A5" s="15" t="s">
        <v>97</v>
      </c>
      <c r="B5" s="7" t="s">
        <v>98</v>
      </c>
    </row>
    <row r="6" ht="105.0" customHeight="1">
      <c r="A6" s="15" t="s">
        <v>99</v>
      </c>
      <c r="B6" s="6" t="s">
        <v>100</v>
      </c>
    </row>
    <row r="7" ht="61.5" customHeight="1">
      <c r="A7" s="15" t="s">
        <v>101</v>
      </c>
      <c r="B7" s="6" t="s">
        <v>102</v>
      </c>
    </row>
    <row r="8" ht="105.0" customHeight="1">
      <c r="A8" s="15" t="s">
        <v>103</v>
      </c>
      <c r="B8" s="6" t="s">
        <v>104</v>
      </c>
    </row>
    <row r="9" ht="90.0" customHeight="1">
      <c r="A9" s="15" t="s">
        <v>105</v>
      </c>
      <c r="B9" s="6" t="s">
        <v>106</v>
      </c>
    </row>
    <row r="11">
      <c r="A11" s="4" t="s">
        <v>107</v>
      </c>
      <c r="B11" s="25"/>
    </row>
    <row r="12" ht="84.75" customHeight="1">
      <c r="A12" s="15" t="s">
        <v>108</v>
      </c>
      <c r="B12" s="6" t="s">
        <v>109</v>
      </c>
    </row>
    <row r="13" ht="84.75" customHeight="1">
      <c r="A13" s="15" t="s">
        <v>110</v>
      </c>
      <c r="B13" s="6" t="s">
        <v>111</v>
      </c>
    </row>
    <row r="14" ht="99.75" customHeight="1">
      <c r="A14" s="15" t="s">
        <v>112</v>
      </c>
      <c r="B14" s="6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4" footer="0.0" header="0.0" left="0.3" right="0.3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2026-09-07T16:02:51Z</dcterms:created>
  <dc:creator>openpyxl</dc:creator>
</cp:coreProperties>
</file>